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DASHBOARD" sheetId="2" r:id="rId1"/>
  </sheets>
  <calcPr calcId="125725"/>
</workbook>
</file>

<file path=xl/calcChain.xml><?xml version="1.0" encoding="utf-8"?>
<calcChain xmlns="http://schemas.openxmlformats.org/spreadsheetml/2006/main">
  <c r="I5" i="2"/>
  <c r="I6"/>
  <c r="I7"/>
  <c r="I8"/>
  <c r="G17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"/>
  <c r="E2"/>
  <c r="E30" s="1"/>
  <c r="J6" l="1"/>
  <c r="J8"/>
  <c r="J5"/>
  <c r="J7"/>
</calcChain>
</file>

<file path=xl/sharedStrings.xml><?xml version="1.0" encoding="utf-8"?>
<sst xmlns="http://schemas.openxmlformats.org/spreadsheetml/2006/main" count="42" uniqueCount="13">
  <si>
    <t>DATE</t>
  </si>
  <si>
    <t>CATEGORY</t>
  </si>
  <si>
    <t>QUANTITY</t>
  </si>
  <si>
    <t>AMOUNT</t>
  </si>
  <si>
    <t>PEN PACK</t>
  </si>
  <si>
    <t>RIM</t>
  </si>
  <si>
    <t>FILE COVER</t>
  </si>
  <si>
    <t>COLOR SHEET</t>
  </si>
  <si>
    <t>Total</t>
  </si>
  <si>
    <t>RATE (in Rs)</t>
  </si>
  <si>
    <t>TOTAL QUANTITY</t>
  </si>
  <si>
    <t>TOTAL AMOUNT</t>
  </si>
  <si>
    <t>TOTAL FILLED ROW</t>
  </si>
</sst>
</file>

<file path=xl/styles.xml><?xml version="1.0" encoding="utf-8"?>
<styleSheet xmlns="http://schemas.openxmlformats.org/spreadsheetml/2006/main">
  <numFmts count="1">
    <numFmt numFmtId="166" formatCode="[$-409]d\-mmm;@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166" fontId="0" fillId="3" borderId="2" xfId="0" applyNumberFormat="1" applyFont="1" applyFill="1" applyBorder="1" applyAlignment="1">
      <alignment horizontal="center" vertical="center"/>
    </xf>
    <xf numFmtId="166" fontId="0" fillId="2" borderId="2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166" fontId="0" fillId="2" borderId="7" xfId="0" applyNumberFormat="1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 tint="0.59999389629810485"/>
          <bgColor theme="3" tint="-0.249977111117893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;@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;@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E30" totalsRowCount="1" headerRowDxfId="0" dataDxfId="4" headerRowBorderDxfId="2" tableBorderDxfId="3" totalsRowBorderDxfId="1">
  <autoFilter ref="A1:E29"/>
  <tableColumns count="5">
    <tableColumn id="1" name="DATE" totalsRowLabel="Total" dataDxfId="17" totalsRowDxfId="10"/>
    <tableColumn id="2" name="CATEGORY" dataDxfId="5" totalsRowDxfId="13"/>
    <tableColumn id="3" name="QUANTITY" dataDxfId="16" totalsRowDxfId="12"/>
    <tableColumn id="4" name="RATE (in Rs)" dataDxfId="15" totalsRowDxfId="11"/>
    <tableColumn id="5" name="AMOUNT" totalsRowFunction="sum" dataDxfId="14" totalsRowDxfId="9">
      <calculatedColumnFormula>C2*D2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H4:J8" totalsRowShown="0" headerRowBorderDxfId="7" tableBorderDxfId="8" totalsRowBorderDxfId="6">
  <autoFilter ref="H4:J8"/>
  <tableColumns count="3">
    <tableColumn id="1" name="CATEGORY"/>
    <tableColumn id="2" name="TOTAL QUANTITY"/>
    <tableColumn id="3" name="TOTAL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zoomScaleNormal="100" workbookViewId="0">
      <selection activeCell="G24" sqref="G24"/>
    </sheetView>
  </sheetViews>
  <sheetFormatPr defaultRowHeight="15"/>
  <cols>
    <col min="1" max="3" width="12.7109375" style="2" customWidth="1"/>
    <col min="4" max="4" width="13.5703125" style="2" customWidth="1"/>
    <col min="5" max="5" width="12.7109375" style="2" customWidth="1"/>
    <col min="7" max="7" width="30" style="1" customWidth="1"/>
    <col min="8" max="8" width="14.5703125" customWidth="1"/>
    <col min="9" max="9" width="18.42578125" customWidth="1"/>
    <col min="10" max="10" width="17.5703125" customWidth="1"/>
  </cols>
  <sheetData>
    <row r="1" spans="1:10">
      <c r="A1" s="23" t="s">
        <v>0</v>
      </c>
      <c r="B1" s="24" t="s">
        <v>1</v>
      </c>
      <c r="C1" s="24" t="s">
        <v>2</v>
      </c>
      <c r="D1" s="24" t="s">
        <v>9</v>
      </c>
      <c r="E1" s="25" t="s">
        <v>3</v>
      </c>
    </row>
    <row r="2" spans="1:10">
      <c r="A2" s="6">
        <v>46023</v>
      </c>
      <c r="B2" s="6" t="s">
        <v>4</v>
      </c>
      <c r="C2" s="4">
        <v>50</v>
      </c>
      <c r="D2" s="4">
        <v>20</v>
      </c>
      <c r="E2" s="9">
        <f>C2*D2</f>
        <v>1000</v>
      </c>
    </row>
    <row r="3" spans="1:10">
      <c r="A3" s="7">
        <v>46023</v>
      </c>
      <c r="B3" s="7" t="s">
        <v>5</v>
      </c>
      <c r="C3" s="3">
        <v>40</v>
      </c>
      <c r="D3" s="3">
        <v>250</v>
      </c>
      <c r="E3" s="8">
        <f>C3*D3</f>
        <v>10000</v>
      </c>
    </row>
    <row r="4" spans="1:10">
      <c r="A4" s="6">
        <v>46023</v>
      </c>
      <c r="B4" s="6" t="s">
        <v>6</v>
      </c>
      <c r="C4" s="4">
        <v>22</v>
      </c>
      <c r="D4" s="4">
        <v>40</v>
      </c>
      <c r="E4" s="9">
        <f t="shared" ref="E4:E29" si="0">C4*D4</f>
        <v>880</v>
      </c>
      <c r="H4" s="10" t="s">
        <v>1</v>
      </c>
      <c r="I4" s="19" t="s">
        <v>10</v>
      </c>
      <c r="J4" s="20" t="s">
        <v>11</v>
      </c>
    </row>
    <row r="5" spans="1:10">
      <c r="A5" s="7">
        <v>46023</v>
      </c>
      <c r="B5" s="7" t="s">
        <v>7</v>
      </c>
      <c r="C5" s="3">
        <v>33</v>
      </c>
      <c r="D5" s="3">
        <v>15</v>
      </c>
      <c r="E5" s="8">
        <f t="shared" si="0"/>
        <v>495</v>
      </c>
      <c r="H5" s="17" t="s">
        <v>4</v>
      </c>
      <c r="I5" s="4">
        <f>SUMIFS(C2:C29,B2:B29,"PEN PACK")</f>
        <v>350</v>
      </c>
      <c r="J5" s="18">
        <f>SUMIFS(E2:E29,B2:B29,"PEN PACK")</f>
        <v>7000</v>
      </c>
    </row>
    <row r="6" spans="1:10">
      <c r="A6" s="6">
        <v>46024</v>
      </c>
      <c r="B6" s="6" t="s">
        <v>4</v>
      </c>
      <c r="C6" s="4">
        <v>54</v>
      </c>
      <c r="D6" s="4">
        <v>20</v>
      </c>
      <c r="E6" s="9">
        <f t="shared" si="0"/>
        <v>1080</v>
      </c>
      <c r="H6" s="5" t="s">
        <v>5</v>
      </c>
      <c r="I6" s="3">
        <f>SUMIFS(C2:C29,B2:B29,"RIM")</f>
        <v>301</v>
      </c>
      <c r="J6" s="8">
        <f>SUMIFS(E2:E29,B2:B29,"RIM")</f>
        <v>75250</v>
      </c>
    </row>
    <row r="7" spans="1:10">
      <c r="A7" s="7">
        <v>46024</v>
      </c>
      <c r="B7" s="7" t="s">
        <v>5</v>
      </c>
      <c r="C7" s="3">
        <v>26</v>
      </c>
      <c r="D7" s="3">
        <v>250</v>
      </c>
      <c r="E7" s="8">
        <f t="shared" si="0"/>
        <v>6500</v>
      </c>
      <c r="H7" s="17" t="s">
        <v>6</v>
      </c>
      <c r="I7" s="4">
        <f>SUMIFS(C4:C32,B4:B32,"PEN PACK")</f>
        <v>300</v>
      </c>
      <c r="J7" s="18">
        <f>SUMIFS(E4:E32,B4:B32,"PEN PACK")</f>
        <v>6000</v>
      </c>
    </row>
    <row r="8" spans="1:10">
      <c r="A8" s="6">
        <v>46024</v>
      </c>
      <c r="B8" s="6" t="s">
        <v>6</v>
      </c>
      <c r="C8" s="4">
        <v>26</v>
      </c>
      <c r="D8" s="4">
        <v>40</v>
      </c>
      <c r="E8" s="9">
        <f t="shared" si="0"/>
        <v>1040</v>
      </c>
      <c r="H8" s="14" t="s">
        <v>7</v>
      </c>
      <c r="I8" s="12">
        <f>SUMIFS(C4:C32,B4:B32,"RIM")</f>
        <v>261</v>
      </c>
      <c r="J8" s="13">
        <f>SUMIFS(E4:E32,B4:B32,"RIM")</f>
        <v>65250</v>
      </c>
    </row>
    <row r="9" spans="1:10">
      <c r="A9" s="7">
        <v>46024</v>
      </c>
      <c r="B9" s="7" t="s">
        <v>7</v>
      </c>
      <c r="C9" s="3">
        <v>468</v>
      </c>
      <c r="D9" s="3">
        <v>15</v>
      </c>
      <c r="E9" s="8">
        <f t="shared" si="0"/>
        <v>7020</v>
      </c>
    </row>
    <row r="10" spans="1:10">
      <c r="A10" s="6">
        <v>46025</v>
      </c>
      <c r="B10" s="6" t="s">
        <v>4</v>
      </c>
      <c r="C10" s="4">
        <v>2</v>
      </c>
      <c r="D10" s="4">
        <v>20</v>
      </c>
      <c r="E10" s="9">
        <f t="shared" si="0"/>
        <v>40</v>
      </c>
    </row>
    <row r="11" spans="1:10">
      <c r="A11" s="7">
        <v>46025</v>
      </c>
      <c r="B11" s="7" t="s">
        <v>5</v>
      </c>
      <c r="C11" s="3">
        <v>55</v>
      </c>
      <c r="D11" s="3">
        <v>250</v>
      </c>
      <c r="E11" s="8">
        <f t="shared" si="0"/>
        <v>13750</v>
      </c>
    </row>
    <row r="12" spans="1:10">
      <c r="A12" s="6">
        <v>46025</v>
      </c>
      <c r="B12" s="6" t="s">
        <v>6</v>
      </c>
      <c r="C12" s="4">
        <v>14</v>
      </c>
      <c r="D12" s="4">
        <v>40</v>
      </c>
      <c r="E12" s="9">
        <f t="shared" si="0"/>
        <v>560</v>
      </c>
    </row>
    <row r="13" spans="1:10">
      <c r="A13" s="7">
        <v>46025</v>
      </c>
      <c r="B13" s="7" t="s">
        <v>7</v>
      </c>
      <c r="C13" s="3">
        <v>42</v>
      </c>
      <c r="D13" s="3">
        <v>15</v>
      </c>
      <c r="E13" s="8">
        <f t="shared" si="0"/>
        <v>630</v>
      </c>
    </row>
    <row r="14" spans="1:10">
      <c r="A14" s="6">
        <v>46026</v>
      </c>
      <c r="B14" s="6" t="s">
        <v>4</v>
      </c>
      <c r="C14" s="4">
        <v>32</v>
      </c>
      <c r="D14" s="4">
        <v>20</v>
      </c>
      <c r="E14" s="9">
        <f t="shared" si="0"/>
        <v>640</v>
      </c>
    </row>
    <row r="15" spans="1:10">
      <c r="A15" s="7">
        <v>46026</v>
      </c>
      <c r="B15" s="7" t="s">
        <v>5</v>
      </c>
      <c r="C15" s="3">
        <v>41</v>
      </c>
      <c r="D15" s="3">
        <v>250</v>
      </c>
      <c r="E15" s="8">
        <f t="shared" si="0"/>
        <v>10250</v>
      </c>
    </row>
    <row r="16" spans="1:10">
      <c r="A16" s="6">
        <v>46026</v>
      </c>
      <c r="B16" s="6" t="s">
        <v>6</v>
      </c>
      <c r="C16" s="4">
        <v>89</v>
      </c>
      <c r="D16" s="4">
        <v>40</v>
      </c>
      <c r="E16" s="9">
        <f t="shared" si="0"/>
        <v>3560</v>
      </c>
      <c r="G16" s="22" t="s">
        <v>12</v>
      </c>
    </row>
    <row r="17" spans="1:7">
      <c r="A17" s="7">
        <v>46026</v>
      </c>
      <c r="B17" s="7" t="s">
        <v>7</v>
      </c>
      <c r="C17" s="3">
        <v>75</v>
      </c>
      <c r="D17" s="3">
        <v>15</v>
      </c>
      <c r="E17" s="8">
        <f t="shared" si="0"/>
        <v>1125</v>
      </c>
      <c r="G17" s="21">
        <f>COUNTA(Table4[[#All],[CATEGORY]])</f>
        <v>29</v>
      </c>
    </row>
    <row r="18" spans="1:7">
      <c r="A18" s="6">
        <v>46027</v>
      </c>
      <c r="B18" s="6" t="s">
        <v>4</v>
      </c>
      <c r="C18" s="4">
        <v>89</v>
      </c>
      <c r="D18" s="4">
        <v>20</v>
      </c>
      <c r="E18" s="9">
        <f t="shared" si="0"/>
        <v>1780</v>
      </c>
      <c r="G18"/>
    </row>
    <row r="19" spans="1:7">
      <c r="A19" s="7">
        <v>46027</v>
      </c>
      <c r="B19" s="7" t="s">
        <v>5</v>
      </c>
      <c r="C19" s="3">
        <v>64</v>
      </c>
      <c r="D19" s="3">
        <v>250</v>
      </c>
      <c r="E19" s="8">
        <f t="shared" si="0"/>
        <v>16000</v>
      </c>
      <c r="G19"/>
    </row>
    <row r="20" spans="1:7">
      <c r="A20" s="6">
        <v>46027</v>
      </c>
      <c r="B20" s="6" t="s">
        <v>6</v>
      </c>
      <c r="C20" s="4">
        <v>86</v>
      </c>
      <c r="D20" s="4">
        <v>40</v>
      </c>
      <c r="E20" s="9">
        <f t="shared" si="0"/>
        <v>3440</v>
      </c>
      <c r="G20"/>
    </row>
    <row r="21" spans="1:7">
      <c r="A21" s="7">
        <v>46027</v>
      </c>
      <c r="B21" s="7" t="s">
        <v>7</v>
      </c>
      <c r="C21" s="3">
        <v>75</v>
      </c>
      <c r="D21" s="3">
        <v>15</v>
      </c>
      <c r="E21" s="8">
        <f t="shared" si="0"/>
        <v>1125</v>
      </c>
      <c r="G21"/>
    </row>
    <row r="22" spans="1:7">
      <c r="A22" s="6">
        <v>46028</v>
      </c>
      <c r="B22" s="6" t="s">
        <v>4</v>
      </c>
      <c r="C22" s="4">
        <v>99</v>
      </c>
      <c r="D22" s="4">
        <v>20</v>
      </c>
      <c r="E22" s="9">
        <f t="shared" si="0"/>
        <v>1980</v>
      </c>
      <c r="G22"/>
    </row>
    <row r="23" spans="1:7">
      <c r="A23" s="7">
        <v>46028</v>
      </c>
      <c r="B23" s="7" t="s">
        <v>5</v>
      </c>
      <c r="C23" s="3">
        <v>54</v>
      </c>
      <c r="D23" s="3">
        <v>250</v>
      </c>
      <c r="E23" s="8">
        <f t="shared" si="0"/>
        <v>13500</v>
      </c>
      <c r="G23"/>
    </row>
    <row r="24" spans="1:7">
      <c r="A24" s="6">
        <v>46028</v>
      </c>
      <c r="B24" s="6" t="s">
        <v>6</v>
      </c>
      <c r="C24" s="4">
        <v>45</v>
      </c>
      <c r="D24" s="4">
        <v>40</v>
      </c>
      <c r="E24" s="9">
        <f t="shared" si="0"/>
        <v>1800</v>
      </c>
    </row>
    <row r="25" spans="1:7">
      <c r="A25" s="7">
        <v>46028</v>
      </c>
      <c r="B25" s="7" t="s">
        <v>7</v>
      </c>
      <c r="C25" s="3">
        <v>36</v>
      </c>
      <c r="D25" s="3">
        <v>15</v>
      </c>
      <c r="E25" s="8">
        <f t="shared" si="0"/>
        <v>540</v>
      </c>
    </row>
    <row r="26" spans="1:7">
      <c r="A26" s="6">
        <v>46029</v>
      </c>
      <c r="B26" s="6" t="s">
        <v>4</v>
      </c>
      <c r="C26" s="4">
        <v>24</v>
      </c>
      <c r="D26" s="4">
        <v>20</v>
      </c>
      <c r="E26" s="9">
        <f t="shared" si="0"/>
        <v>480</v>
      </c>
    </row>
    <row r="27" spans="1:7">
      <c r="A27" s="7">
        <v>46029</v>
      </c>
      <c r="B27" s="7" t="s">
        <v>5</v>
      </c>
      <c r="C27" s="3">
        <v>21</v>
      </c>
      <c r="D27" s="3">
        <v>250</v>
      </c>
      <c r="E27" s="8">
        <f t="shared" si="0"/>
        <v>5250</v>
      </c>
    </row>
    <row r="28" spans="1:7">
      <c r="A28" s="6">
        <v>46029</v>
      </c>
      <c r="B28" s="6" t="s">
        <v>6</v>
      </c>
      <c r="C28" s="4">
        <v>32</v>
      </c>
      <c r="D28" s="4">
        <v>40</v>
      </c>
      <c r="E28" s="9">
        <f t="shared" si="0"/>
        <v>1280</v>
      </c>
    </row>
    <row r="29" spans="1:7">
      <c r="A29" s="11">
        <v>46029</v>
      </c>
      <c r="B29" s="11" t="s">
        <v>7</v>
      </c>
      <c r="C29" s="12">
        <v>67</v>
      </c>
      <c r="D29" s="12">
        <v>15</v>
      </c>
      <c r="E29" s="13">
        <f t="shared" si="0"/>
        <v>1005</v>
      </c>
    </row>
    <row r="30" spans="1:7">
      <c r="A30" s="15" t="s">
        <v>8</v>
      </c>
      <c r="B30" s="12"/>
      <c r="C30" s="12"/>
      <c r="D30" s="12"/>
      <c r="E30" s="16">
        <f>SUBTOTAL(109,[AMOUNT])</f>
        <v>106750</v>
      </c>
    </row>
    <row r="31" spans="1:7">
      <c r="G3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</dc:creator>
  <cp:lastModifiedBy>Anubhav</cp:lastModifiedBy>
  <dcterms:created xsi:type="dcterms:W3CDTF">2026-03-24T12:59:02Z</dcterms:created>
  <dcterms:modified xsi:type="dcterms:W3CDTF">2026-03-24T13:59:11Z</dcterms:modified>
</cp:coreProperties>
</file>